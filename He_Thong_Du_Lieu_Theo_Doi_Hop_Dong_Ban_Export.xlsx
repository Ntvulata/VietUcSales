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tvu7\.gemini\antigravity\scratch\Ban Hang\"/>
    </mc:Choice>
  </mc:AlternateContent>
  <xr:revisionPtr revIDLastSave="0" documentId="8_{3B8E86CE-D5E8-401D-A1C5-9D58FED44EB8}" xr6:coauthVersionLast="47" xr6:coauthVersionMax="47" xr10:uidLastSave="{00000000-0000-0000-0000-000000000000}"/>
  <bookViews>
    <workbookView xWindow="-60" yWindow="-60" windowWidth="20610" windowHeight="10920" xr2:uid="{00000000-000D-0000-FFFF-FFFF00000000}"/>
  </bookViews>
  <sheets>
    <sheet name="1. HopDong_Ban" sheetId="1" r:id="rId1"/>
    <sheet name="2. Dot_Xuat_Hang" sheetId="2" r:id="rId2"/>
    <sheet name="3. ChiPhi_Logistics" sheetId="3" r:id="rId3"/>
    <sheet name="4. ThanhToan_TienVe" sheetId="4" r:id="rId4"/>
    <sheet name="5. TongHop_LoiNhuan" sheetId="5" r:id="rId5"/>
    <sheet name="6. DanhMuc_Master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K6" i="5" s="1"/>
  <c r="J5" i="5"/>
  <c r="K5" i="5" s="1"/>
  <c r="I6" i="4"/>
  <c r="I5" i="4"/>
  <c r="L16" i="3"/>
  <c r="L15" i="3"/>
  <c r="L14" i="3"/>
  <c r="L13" i="3"/>
  <c r="L12" i="3"/>
  <c r="L11" i="3"/>
  <c r="L10" i="3"/>
  <c r="L9" i="3"/>
  <c r="L8" i="3"/>
  <c r="L7" i="3"/>
  <c r="L6" i="3"/>
  <c r="L5" i="3"/>
  <c r="J7" i="1"/>
  <c r="J6" i="1"/>
  <c r="J5" i="1"/>
</calcChain>
</file>

<file path=xl/sharedStrings.xml><?xml version="1.0" encoding="utf-8"?>
<sst xmlns="http://schemas.openxmlformats.org/spreadsheetml/2006/main" count="456" uniqueCount="333">
  <si>
    <t>BẢNG 1: QUẢN LÝ THÔNG TIN HỢP ĐỒNG BÁN (CONTRACTS)</t>
  </si>
  <si>
    <t>Số HĐ</t>
  </si>
  <si>
    <t>Ngày Ký</t>
  </si>
  <si>
    <t>Mã Khách Hàng</t>
  </si>
  <si>
    <t>Tên Khách Hàng</t>
  </si>
  <si>
    <t>Loại Hàng</t>
  </si>
  <si>
    <t>Quy Cách Đóng Gói</t>
  </si>
  <si>
    <t>Sản Lượng Ký (MT)</t>
  </si>
  <si>
    <t>Dung Sai (+/-%)</t>
  </si>
  <si>
    <t>Đơn Giá (USD/MT)</t>
  </si>
  <si>
    <t>Tổng Giá Trị (USD)</t>
  </si>
  <si>
    <t>Hình Thức TT</t>
  </si>
  <si>
    <t>Ngân Hàng Nhận L/C</t>
  </si>
  <si>
    <t>Hạn Giao Hàng Cuối</t>
  </si>
  <si>
    <t>Trạng Thái HĐ</t>
  </si>
  <si>
    <t>Ghi Chú</t>
  </si>
  <si>
    <t>Khóa chính (Duy nhất, không trùng)</t>
  </si>
  <si>
    <t>Ngày ký hợp đồng</t>
  </si>
  <si>
    <t>Danh mục KH</t>
  </si>
  <si>
    <t>Tự động nhảy theo Mã KH</t>
  </si>
  <si>
    <t>Mã hàng</t>
  </si>
  <si>
    <t>Bao 50kg, Jumbo 850kg...</t>
  </si>
  <si>
    <t>Tổng số lượng theo HĐ</t>
  </si>
  <si>
    <t>Dung sai cho phép (vd: 5%)</t>
  </si>
  <si>
    <t>Đơn giá xuất khẩu</t>
  </si>
  <si>
    <t>Công thức: Sản lượng * Đơn giá</t>
  </si>
  <si>
    <t>L/C, T/T 100% trước, T/T 30-70...</t>
  </si>
  <si>
    <t>Điền nếu thanh toán bằng L/C</t>
  </si>
  <si>
    <t>Hạn chót phải giao hàng</t>
  </si>
  <si>
    <t>DRAFT, ACTIVE, COMPLETED</t>
  </si>
  <si>
    <t>Ghi chú hợp đồng</t>
  </si>
  <si>
    <t>HD-2026-X01</t>
  </si>
  <si>
    <t>2026-02-10</t>
  </si>
  <si>
    <t>KH_SHANGHAI</t>
  </si>
  <si>
    <t>Shanghai Agrochemical Ltd</t>
  </si>
  <si>
    <t>VU-50kg</t>
  </si>
  <si>
    <t>Bao PP 50kg</t>
  </si>
  <si>
    <t>L/C</t>
  </si>
  <si>
    <t>Vietcombank</t>
  </si>
  <si>
    <t>2026-04-15</t>
  </si>
  <si>
    <t>ACTIVE</t>
  </si>
  <si>
    <t>Khách truyền thống</t>
  </si>
  <si>
    <t>HD-2026-X02</t>
  </si>
  <si>
    <t>2026-02-18</t>
  </si>
  <si>
    <t>KH_QINGDAO</t>
  </si>
  <si>
    <t>Qingdao Starch Co.</t>
  </si>
  <si>
    <t>VU-850kg</t>
  </si>
  <si>
    <t>Jumbo bag 850kg</t>
  </si>
  <si>
    <t>T/T 30 - 70</t>
  </si>
  <si>
    <t>MB Bank</t>
  </si>
  <si>
    <t>2026-03-31</t>
  </si>
  <si>
    <t>Cọc 30% khi ký</t>
  </si>
  <si>
    <t>HD-2026-X03</t>
  </si>
  <si>
    <t>2026-03-01</t>
  </si>
  <si>
    <t>KH_MANILA</t>
  </si>
  <si>
    <t>Manila Food Processing</t>
  </si>
  <si>
    <t>T/T 100% trước khi giao</t>
  </si>
  <si>
    <t>Vietinbank</t>
  </si>
  <si>
    <t>2026-04-30</t>
  </si>
  <si>
    <t>Thanh toán trước khi bốc hàng</t>
  </si>
  <si>
    <t>BẢNG 2: QUẢN LÝ ĐỢT XUẤT HÀNG &amp; LÔ HÀNG THỰC TẾ (SHIPMENTS)</t>
  </si>
  <si>
    <t>Mã Lô/Đợt Xuất</t>
  </si>
  <si>
    <t>Số HĐ Liên Kết</t>
  </si>
  <si>
    <t>Số B/L / Booking</t>
  </si>
  <si>
    <t>Số Tờ Khai Hải Quan</t>
  </si>
  <si>
    <t>Số Lượng Thực Xuất (MT)</t>
  </si>
  <si>
    <t>Số Lượng Cont</t>
  </si>
  <si>
    <t>Loại Cont</t>
  </si>
  <si>
    <t>Cảng Đi</t>
  </si>
  <si>
    <t>Cảng Đến</t>
  </si>
  <si>
    <t>Tên Tàu / Số Chuyến</t>
  </si>
  <si>
    <t>Hãng Tàu</t>
  </si>
  <si>
    <t>Ngày Tàu Chạy (ATD)</t>
  </si>
  <si>
    <t>Ngày Đến (ETA)</t>
  </si>
  <si>
    <t>Tỷ Giá Thực Tế (USD/VND)</t>
  </si>
  <si>
    <t>Trạng Thái Lô Hàng</t>
  </si>
  <si>
    <t>Mã định danh từng chuyến xuất</t>
  </si>
  <si>
    <t>Liên kết về Bảng Hợp Đồng</t>
  </si>
  <si>
    <t>Số vận đơn / booking hãng tàu</t>
  </si>
  <si>
    <t>Mã số tờ khai thông quan</t>
  </si>
  <si>
    <t>Khối lượng thực xuất cân được</t>
  </si>
  <si>
    <t>Số cont xuất đợt này</t>
  </si>
  <si>
    <t>20ft hoặc 40ft</t>
  </si>
  <si>
    <t>VD: Cát Lái, Tân Vũ...</t>
  </si>
  <si>
    <t>VD: Qingdao, Shanghai...</t>
  </si>
  <si>
    <t>Tên tàu biển chở hàng</t>
  </si>
  <si>
    <t>Hãng tàu đảm nhận</t>
  </si>
  <si>
    <t>Ngày tàu khởi hành thực tế</t>
  </si>
  <si>
    <t>Ngày dự kiến cập cảng đến</t>
  </si>
  <si>
    <t>Tỷ giá bán ngoại tệ thực tế khi nhận tiền</t>
  </si>
  <si>
    <t>ĐANG ĐÓNG HÀNG, ĐÃ LÊN TÀU, ĐÃ THÔNG QUAN</t>
  </si>
  <si>
    <t>Ghi chú lô xuất</t>
  </si>
  <si>
    <t>XUAT-01A</t>
  </si>
  <si>
    <t>ONE-SGN-202601</t>
  </si>
  <si>
    <t>105998823410</t>
  </si>
  <si>
    <t>40HC</t>
  </si>
  <si>
    <t>Cát Lái (SGN)</t>
  </si>
  <si>
    <t>Shanghai (SHA)</t>
  </si>
  <si>
    <t>MV PACIFIC V.2601</t>
  </si>
  <si>
    <t>ONE Line</t>
  </si>
  <si>
    <t>2026-03-05</t>
  </si>
  <si>
    <t>2026-03-15</t>
  </si>
  <si>
    <t>ĐÃ THÔNG QUAN</t>
  </si>
  <si>
    <t>Xuất đợt 1 (750 MT)</t>
  </si>
  <si>
    <t>XUAT-01B</t>
  </si>
  <si>
    <t>ONE-SGN-202602</t>
  </si>
  <si>
    <t>105998823488</t>
  </si>
  <si>
    <t>MV ASIAN GLORY V.2602</t>
  </si>
  <si>
    <t>2026-03-20</t>
  </si>
  <si>
    <t>2026-03-30</t>
  </si>
  <si>
    <t>ĐÃ LÊN TÀU</t>
  </si>
  <si>
    <t>Xuất đợt 2 (750 MT) - hoàn tất HĐ</t>
  </si>
  <si>
    <t>XUAT-02A</t>
  </si>
  <si>
    <t>COS-SGN-889911</t>
  </si>
  <si>
    <t>106001122330</t>
  </si>
  <si>
    <t>Qingdao (TAO)</t>
  </si>
  <si>
    <t>COSCO ASIA V.112</t>
  </si>
  <si>
    <t>COSCO</t>
  </si>
  <si>
    <t>2026-03-12</t>
  </si>
  <si>
    <t>2026-03-24</t>
  </si>
  <si>
    <t>Xuất trọn gói 600 MT</t>
  </si>
  <si>
    <t>BẢNG 3: CHI TIẾT CHI PHÍ VẬN TẢI, TÀU BÈ, BỐC XẾP &amp; HOA HỒNG (COSTS)</t>
  </si>
  <si>
    <t>Mã CP</t>
  </si>
  <si>
    <t>Khoản Mục Chi Phí</t>
  </si>
  <si>
    <t>Hình Thức Dịch Vụ</t>
  </si>
  <si>
    <t>Nhà Cung Cấp / Người Nhận Tiền</t>
  </si>
  <si>
    <t>Số Lượng Tính Phí</t>
  </si>
  <si>
    <t>Đơn Vị Tính</t>
  </si>
  <si>
    <t>Đơn Giá</t>
  </si>
  <si>
    <t>Loại Tiền</t>
  </si>
  <si>
    <t>Tỷ Giá Quy Đổi</t>
  </si>
  <si>
    <t>Thành Tiền Quy Đổi (VND)</t>
  </si>
  <si>
    <t>Số Hóa Đơn / Phiếu Chi</t>
  </si>
  <si>
    <t>Tình Trạng Thanh Toán</t>
  </si>
  <si>
    <t>Ngày Thanh Toán</t>
  </si>
  <si>
    <t>Khóa chính dòng chi phí</t>
  </si>
  <si>
    <t>Liên kết về Bảng Đợt Xuất</t>
  </si>
  <si>
    <t>Cước tàu, Bill, Telex, Seal, Nâng hạ, Kiểm dịch...</t>
  </si>
  <si>
    <t>TRỌN GÓI (1 NCC) hoặc TÁCH LẺ (Nhiều bên)</t>
  </si>
  <si>
    <t>Tên FWD, Tên Hãng tàu, Nhà xe, Cò bột...</t>
  </si>
  <si>
    <t>Số lượng tính (MT, Cont, Set, Chuyến...)</t>
  </si>
  <si>
    <t>MT, Cont, Chuyến, Lô...</t>
  </si>
  <si>
    <t>Đơn giá thỏa thuận</t>
  </si>
  <si>
    <t>USD hoặc VND</t>
  </si>
  <si>
    <t>Tỷ giá quy đổi ra VND (VND nhập 1)</t>
  </si>
  <si>
    <t>Công thức: Số lượng * Đơn giá * Tỷ giá</t>
  </si>
  <si>
    <t>Số HĐ GTGT hoặc mã phiếu chi</t>
  </si>
  <si>
    <t>CHƯA THANH TOÁN / ĐÃ THANH TOÁN</t>
  </si>
  <si>
    <t>Ngày thực tế thanh toán</t>
  </si>
  <si>
    <t>Ghi chú thêm</t>
  </si>
  <si>
    <t>CP-001</t>
  </si>
  <si>
    <t>Cước tàu (Ocean Freight)</t>
  </si>
  <si>
    <t>TÁCH LẺ</t>
  </si>
  <si>
    <t>ONE Line VN</t>
  </si>
  <si>
    <t>Cont</t>
  </si>
  <si>
    <t>USD</t>
  </si>
  <si>
    <t>INV-ONE-0988</t>
  </si>
  <si>
    <t>ĐÃ THANH TOÁN</t>
  </si>
  <si>
    <t>2026-03-04</t>
  </si>
  <si>
    <t>Cước 30 cont 40HC đi Shanghai</t>
  </si>
  <si>
    <t>CP-002</t>
  </si>
  <si>
    <t>Phí chứng từ (Bill/Telex/Seal)</t>
  </si>
  <si>
    <t>Bộ</t>
  </si>
  <si>
    <t>INV-ONE-0989</t>
  </si>
  <si>
    <t>Bao gồm Seal chì + Telex</t>
  </si>
  <si>
    <t>CP-003</t>
  </si>
  <si>
    <t>Vận tải bộ (Trucking nội địa)</t>
  </si>
  <si>
    <t>Vận tải Long Phước</t>
  </si>
  <si>
    <t>Chuyến</t>
  </si>
  <si>
    <t>VND</t>
  </si>
  <si>
    <t>HD-LP-0122</t>
  </si>
  <si>
    <t>2026-03-10</t>
  </si>
  <si>
    <t>Kéo cont từ nhà máy về Cát Lái</t>
  </si>
  <si>
    <t>CP-004</t>
  </si>
  <si>
    <t>Phí nâng hạ cont</t>
  </si>
  <si>
    <t>Cảng Cát Lái</t>
  </si>
  <si>
    <t>INV-CL-4410</t>
  </si>
  <si>
    <t>Phí nâng cont lên bãi</t>
  </si>
  <si>
    <t>CP-005</t>
  </si>
  <si>
    <t>Phí hạ tầng cảng biển</t>
  </si>
  <si>
    <t>Cảng vụ TP.HCM</t>
  </si>
  <si>
    <t>BL-HT-9901</t>
  </si>
  <si>
    <t>Thu phí hạ tầng theo QĐ</t>
  </si>
  <si>
    <t>CP-006</t>
  </si>
  <si>
    <t>Hải quan &amp; Kiểm dịch + C/O</t>
  </si>
  <si>
    <t>Logistics An Khang</t>
  </si>
  <si>
    <t>INV-AK-110</t>
  </si>
  <si>
    <t>2026-03-06</t>
  </si>
  <si>
    <t>C/O Form E + Kiểm dịch TV</t>
  </si>
  <si>
    <t>CP-007</t>
  </si>
  <si>
    <t>Phí Bốc Bột</t>
  </si>
  <si>
    <t>Đội bốc vác Nhà máy</t>
  </si>
  <si>
    <t>MT</t>
  </si>
  <si>
    <t>PC-BV-0301</t>
  </si>
  <si>
    <t>Bốc bao lên cont 50kg</t>
  </si>
  <si>
    <t>CP-008</t>
  </si>
  <si>
    <t>Tiền Cò Bột</t>
  </si>
  <si>
    <t>Anh Ba Cò Bột Tây Ninh</t>
  </si>
  <si>
    <t>PC-CO-0302</t>
  </si>
  <si>
    <t>Hoa hồng môi giới nguồn bột</t>
  </si>
  <si>
    <t>CP-009</t>
  </si>
  <si>
    <t>Phí Ngân Hàng &amp; L/C</t>
  </si>
  <si>
    <t>Món</t>
  </si>
  <si>
    <t>SBN-VCB-98</t>
  </si>
  <si>
    <t>2026-03-08</t>
  </si>
  <si>
    <t>Phí chiết khấu &amp; trình bank</t>
  </si>
  <si>
    <t>CP-010</t>
  </si>
  <si>
    <t>Logistics Trọn Gói</t>
  </si>
  <si>
    <t>TRỌN GÓI</t>
  </si>
  <si>
    <t>Bee Logistics Corp</t>
  </si>
  <si>
    <t>INV-BEE-552</t>
  </si>
  <si>
    <t>CHƯA THANH TOÁN</t>
  </si>
  <si>
    <t>Bao gồm xe, nâng hạ, hải quan, kiểm dịch</t>
  </si>
  <si>
    <t>CP-011</t>
  </si>
  <si>
    <t>Cước tàu biển (Ocean Freight)</t>
  </si>
  <si>
    <t>COSCO Vietnam</t>
  </si>
  <si>
    <t>INV-COS-119</t>
  </si>
  <si>
    <t>Cước biển 24 cont đi Qingdao</t>
  </si>
  <si>
    <t>CP-012</t>
  </si>
  <si>
    <t>Bác Tám Bột Mì</t>
  </si>
  <si>
    <t>PC-CO-0308</t>
  </si>
  <si>
    <t>Tiền hoa hồng thỏa thuận</t>
  </si>
  <si>
    <t>BẢNG 4: THEO DÕI TIỀN VỀ TỪ KHÁCH HÀNG &amp; NỢ PHẢI THU (RECEIVABLES)</t>
  </si>
  <si>
    <t>Mã Giao Dịch</t>
  </si>
  <si>
    <t>Khách Hàng</t>
  </si>
  <si>
    <t>Đợt Thanh Toán</t>
  </si>
  <si>
    <t>Hình Thức</t>
  </si>
  <si>
    <t>Số Tiền Ngoại Tệ (USD)</t>
  </si>
  <si>
    <t>Tỷ Giá Thực Nhận</t>
  </si>
  <si>
    <t>Ngày Tiền Về</t>
  </si>
  <si>
    <t>Ngân Hàng Nhận</t>
  </si>
  <si>
    <t>Mã Điện MT103 / Sổ Phụ</t>
  </si>
  <si>
    <t>Khóa chính giao dịch tiền về</t>
  </si>
  <si>
    <t>Liên kết về Bảng Đợt Xuất (nếu có)</t>
  </si>
  <si>
    <t>Tên khách hàng</t>
  </si>
  <si>
    <t>Cọc 30%, Thanh toán L/C 100%, Quyết toán...</t>
  </si>
  <si>
    <t>L/C, T/T...</t>
  </si>
  <si>
    <t>Số tiền USD khách chuyển</t>
  </si>
  <si>
    <t>Tỷ giá quy đổi thực tế của ngân hàng</t>
  </si>
  <si>
    <t>Công thức: Ngoại tệ * Tỷ giá</t>
  </si>
  <si>
    <t>Ngày tiền thực tế vào tài khoản</t>
  </si>
  <si>
    <t>VCB, MB, CTG...</t>
  </si>
  <si>
    <t>Mã tham chiếu ngân hàng</t>
  </si>
  <si>
    <t>Ghi chú thu tiền</t>
  </si>
  <si>
    <t>TT-001</t>
  </si>
  <si>
    <t>Thanh toán L/C Đợt 1</t>
  </si>
  <si>
    <t>VCB-MT103-8821</t>
  </si>
  <si>
    <t>Tiền đợt xuất 1 (750 MT)</t>
  </si>
  <si>
    <t>TT-002</t>
  </si>
  <si>
    <t>Đặt cọc 30% HĐ</t>
  </si>
  <si>
    <t>T/T</t>
  </si>
  <si>
    <t>2026-02-20</t>
  </si>
  <si>
    <t>MB-TT-998231</t>
  </si>
  <si>
    <t>Cọc khi ký hợp đồng</t>
  </si>
  <si>
    <t>BẢNG 5: BÁO CÁO TỔNG HỢP HIỆU QUẢ TÀI CHÍNH &amp; LỢI NHUẬN (P&amp;L)</t>
  </si>
  <si>
    <t>Sản Lượng (MT)</t>
  </si>
  <si>
    <t>Doanh Thu (USD)</t>
  </si>
  <si>
    <t>Doanh Thu Quy Đổi (VND)</t>
  </si>
  <si>
    <t>Giá Vốn Tiền Bột (VND)</t>
  </si>
  <si>
    <t>Tổng Chi Phí Vận Tải &amp; Tàu (VND)</t>
  </si>
  <si>
    <t>Tổng Tiền Cò (VND)</t>
  </si>
  <si>
    <t>Tổng Chi Phí Ngân Hàng &amp; Khác (VND)</t>
  </si>
  <si>
    <t>LỢI NHUẬN GỘP (VND)</t>
  </si>
  <si>
    <t>TỶ SUẤT LN (%)</t>
  </si>
  <si>
    <t>Số hợp đồng</t>
  </si>
  <si>
    <t>Khách hàng</t>
  </si>
  <si>
    <t>Tổng MT</t>
  </si>
  <si>
    <t>Doanh thu USD</t>
  </si>
  <si>
    <t>Doanh thu VND</t>
  </si>
  <si>
    <t>Tiền mua nguyên liệu bột</t>
  </si>
  <si>
    <t>Cước tàu + Trucking + Nâng hạ + Cảng</t>
  </si>
  <si>
    <t>Hoa hồng môi giới bột</t>
  </si>
  <si>
    <t>Phí L/C, kiểm dịch, hải quan...</t>
  </si>
  <si>
    <t>Công thức: Doanh thu - (Vốn + Vận tải + Cò + Khác)</t>
  </si>
  <si>
    <t>LN Gộp / Doanh Thu</t>
  </si>
  <si>
    <t>BẢNG 6: CÁC BẢNG DANH MỤC NGUỒN ĐỂ PHẦN MỀM THIẾT KẾ DROPDOWN / COMBOBOX</t>
  </si>
  <si>
    <t>1. Khách Hàng (Customers)</t>
  </si>
  <si>
    <t>2. Loại Hàng &amp; Quy Cách</t>
  </si>
  <si>
    <t>Mã KH</t>
  </si>
  <si>
    <t>Quốc Gia</t>
  </si>
  <si>
    <t>Mã Hàng</t>
  </si>
  <si>
    <t>Tên Hàng</t>
  </si>
  <si>
    <t>Đóng Gói</t>
  </si>
  <si>
    <t>China</t>
  </si>
  <si>
    <t>Tinh bột sắn xuất khẩu bao 50kg</t>
  </si>
  <si>
    <t>Bao PP/PE 50kg</t>
  </si>
  <si>
    <t>Tinh bột sắn xuất khẩu bao Jumbo</t>
  </si>
  <si>
    <t>Bao Jumbo 850kg</t>
  </si>
  <si>
    <t>Philippines</t>
  </si>
  <si>
    <t>SAN-LAT</t>
  </si>
  <si>
    <t>Sắn lát sấy khô công nghiệp</t>
  </si>
  <si>
    <t>Đóng hàng rời hoặc bao 50kg</t>
  </si>
  <si>
    <t>3. Cảng Đi &amp; Cảng Đến</t>
  </si>
  <si>
    <t>4. Hạng Mục Phí &amp; Đối Tác</t>
  </si>
  <si>
    <t>Mã Cảng</t>
  </si>
  <si>
    <t>Tên Cảng Biển</t>
  </si>
  <si>
    <t>Phân Loại</t>
  </si>
  <si>
    <t>Khoản Mục Phí</t>
  </si>
  <si>
    <t>Đối Tác Thường Dùng</t>
  </si>
  <si>
    <t>Loại Dịch Vụ</t>
  </si>
  <si>
    <t>VN_SGN</t>
  </si>
  <si>
    <t>Cảng Cát Lái (TP.HCM)</t>
  </si>
  <si>
    <t>Cảng bốc</t>
  </si>
  <si>
    <t>Cước tàu</t>
  </si>
  <si>
    <t>ONE Line, COSCO, SITC</t>
  </si>
  <si>
    <t>Ocean Freight</t>
  </si>
  <si>
    <t>VN_HPH</t>
  </si>
  <si>
    <t>Cảng Tân Vũ (Hải Phòng)</t>
  </si>
  <si>
    <t>Trucking nội địa</t>
  </si>
  <si>
    <t>Vận tải Long Phước, Đạt Minh</t>
  </si>
  <si>
    <t>Inland Transport</t>
  </si>
  <si>
    <t>CN_SHA</t>
  </si>
  <si>
    <t>Shanghai Port</t>
  </si>
  <si>
    <t>Cảng dỡ</t>
  </si>
  <si>
    <t>Hải quan / C/O</t>
  </si>
  <si>
    <t>Logistics An Khang, Bee Logistics</t>
  </si>
  <si>
    <t>Forwarding</t>
  </si>
  <si>
    <t>CN_TAO</t>
  </si>
  <si>
    <t>Qingdao Port</t>
  </si>
  <si>
    <t>Bốc vác</t>
  </si>
  <si>
    <t>Handling</t>
  </si>
  <si>
    <t>Tiền cò bột</t>
  </si>
  <si>
    <t>Anh Ba Cò Bột, Bác Tám Mì</t>
  </si>
  <si>
    <t>Brokerage</t>
  </si>
  <si>
    <t>5. Hình Thức TT &amp; Ngân Hàng</t>
  </si>
  <si>
    <t>Hình Thức Thanh Toán</t>
  </si>
  <si>
    <t>Ngân Hàng Thường Dùng</t>
  </si>
  <si>
    <t>L/C at sight</t>
  </si>
  <si>
    <t>Vietcombank (VCB)</t>
  </si>
  <si>
    <t>L/C deferred</t>
  </si>
  <si>
    <t>MB Bank (MB)</t>
  </si>
  <si>
    <t>T/T 100% sau khi giao</t>
  </si>
  <si>
    <t>Vietinbank (VTB)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</si>
</sst>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0"/>
      <color rgb="FFFFFFFF"/>
      <name val="Calibri"/>
    </font>
    <font>
      <i/>
      <sz val="9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9" fontId="4" fillId="4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9" fontId="4" fillId="5" borderId="1" xfId="0" applyNumberFormat="1" applyFont="1" applyFill="1" applyBorder="1" applyAlignment="1">
      <alignment horizontal="right" vertical="center"/>
    </xf>
    <xf numFmtId="4" fontId="4" fillId="5" borderId="1" xfId="0" applyNumberFormat="1" applyFont="1" applyFill="1" applyBorder="1" applyAlignment="1">
      <alignment horizontal="right" vertical="center"/>
    </xf>
    <xf numFmtId="4" fontId="4" fillId="5" borderId="1" xfId="0" applyNumberFormat="1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pane ySplit="4" topLeftCell="A5" activePane="bottomLeft" state="frozen"/>
      <selection pane="bottomLeft" activeCell="A6" sqref="A6"/>
    </sheetView>
  </sheetViews>
  <sheetFormatPr defaultRowHeight="15" x14ac:dyDescent="0.25"/>
  <cols>
    <col min="1" max="1" width="37" customWidth="1"/>
    <col min="2" max="2" width="19" customWidth="1"/>
    <col min="3" max="3" width="16" customWidth="1"/>
    <col min="4" max="4" width="28" customWidth="1"/>
    <col min="5" max="5" width="13" customWidth="1"/>
    <col min="6" max="6" width="27" customWidth="1"/>
    <col min="7" max="7" width="24" customWidth="1"/>
    <col min="8" max="8" width="29" customWidth="1"/>
    <col min="9" max="9" width="20" customWidth="1"/>
    <col min="10" max="10" width="33" customWidth="1"/>
    <col min="11" max="11" width="36" customWidth="1"/>
    <col min="12" max="12" width="31" customWidth="1"/>
    <col min="13" max="13" width="26" customWidth="1"/>
    <col min="14" max="14" width="27" customWidth="1"/>
    <col min="15" max="15" width="32" customWidth="1"/>
  </cols>
  <sheetData>
    <row r="1" spans="1:15" ht="27.95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15" ht="6" customHeight="1" x14ac:dyDescent="0.25"/>
    <row r="3" spans="1:15" ht="26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ht="24" customHeight="1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30</v>
      </c>
    </row>
    <row r="5" spans="1:15" ht="20.100000000000001" customHeight="1" x14ac:dyDescent="0.2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4">
        <v>1500</v>
      </c>
      <c r="H5" s="5">
        <v>0.05</v>
      </c>
      <c r="I5" s="6">
        <v>480</v>
      </c>
      <c r="J5" s="7">
        <f>G5*I5</f>
        <v>720000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</row>
    <row r="6" spans="1:15" ht="20.100000000000001" customHeight="1" x14ac:dyDescent="0.25">
      <c r="A6" s="8" t="s">
        <v>42</v>
      </c>
      <c r="B6" s="8" t="s">
        <v>43</v>
      </c>
      <c r="C6" s="8" t="s">
        <v>44</v>
      </c>
      <c r="D6" s="8" t="s">
        <v>45</v>
      </c>
      <c r="E6" s="8" t="s">
        <v>46</v>
      </c>
      <c r="F6" s="8" t="s">
        <v>47</v>
      </c>
      <c r="G6" s="9">
        <v>600</v>
      </c>
      <c r="H6" s="10">
        <v>0.05</v>
      </c>
      <c r="I6" s="11">
        <v>495</v>
      </c>
      <c r="J6" s="12">
        <f>G6*I6</f>
        <v>297000</v>
      </c>
      <c r="K6" s="8" t="s">
        <v>48</v>
      </c>
      <c r="L6" s="8" t="s">
        <v>49</v>
      </c>
      <c r="M6" s="8" t="s">
        <v>50</v>
      </c>
      <c r="N6" s="8" t="s">
        <v>40</v>
      </c>
      <c r="O6" s="8" t="s">
        <v>51</v>
      </c>
    </row>
    <row r="7" spans="1:15" ht="20.100000000000001" customHeight="1" x14ac:dyDescent="0.25">
      <c r="A7" s="3" t="s">
        <v>52</v>
      </c>
      <c r="B7" s="3" t="s">
        <v>53</v>
      </c>
      <c r="C7" s="3" t="s">
        <v>54</v>
      </c>
      <c r="D7" s="3" t="s">
        <v>55</v>
      </c>
      <c r="E7" s="3" t="s">
        <v>35</v>
      </c>
      <c r="F7" s="3" t="s">
        <v>36</v>
      </c>
      <c r="G7" s="4">
        <v>300</v>
      </c>
      <c r="H7" s="5">
        <v>0.05</v>
      </c>
      <c r="I7" s="6">
        <v>510</v>
      </c>
      <c r="J7" s="7">
        <f>G7*I7</f>
        <v>153000</v>
      </c>
      <c r="K7" s="3" t="s">
        <v>56</v>
      </c>
      <c r="L7" s="3" t="s">
        <v>57</v>
      </c>
      <c r="M7" s="3" t="s">
        <v>58</v>
      </c>
      <c r="N7" s="3" t="s">
        <v>40</v>
      </c>
      <c r="O7" s="3" t="s">
        <v>59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32" customWidth="1"/>
    <col min="2" max="2" width="28" customWidth="1"/>
    <col min="3" max="3" width="32" customWidth="1"/>
    <col min="4" max="4" width="27" customWidth="1"/>
    <col min="5" max="5" width="32" customWidth="1"/>
    <col min="6" max="6" width="23" customWidth="1"/>
    <col min="7" max="7" width="17" customWidth="1"/>
    <col min="8" max="8" width="25" customWidth="1"/>
    <col min="9" max="9" width="27" customWidth="1"/>
    <col min="10" max="10" width="24" customWidth="1"/>
    <col min="11" max="11" width="20" customWidth="1"/>
    <col min="12" max="12" width="29" customWidth="1"/>
    <col min="13" max="13" width="28" customWidth="1"/>
    <col min="14" max="15" width="44" customWidth="1"/>
    <col min="16" max="16" width="36" customWidth="1"/>
  </cols>
  <sheetData>
    <row r="1" spans="1:16" ht="27.95" customHeight="1" x14ac:dyDescent="0.3">
      <c r="A1" s="19" t="s">
        <v>60</v>
      </c>
      <c r="B1" s="20"/>
      <c r="C1" s="20"/>
      <c r="D1" s="20"/>
      <c r="E1" s="20"/>
      <c r="F1" s="20"/>
      <c r="G1" s="20"/>
      <c r="H1" s="20"/>
    </row>
    <row r="2" spans="1:16" ht="6" customHeight="1" x14ac:dyDescent="0.25"/>
    <row r="3" spans="1:16" ht="26.1" customHeight="1" x14ac:dyDescent="0.25">
      <c r="A3" s="1" t="s">
        <v>61</v>
      </c>
      <c r="B3" s="1" t="s">
        <v>62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71</v>
      </c>
      <c r="L3" s="1" t="s">
        <v>72</v>
      </c>
      <c r="M3" s="1" t="s">
        <v>73</v>
      </c>
      <c r="N3" s="1" t="s">
        <v>74</v>
      </c>
      <c r="O3" s="1" t="s">
        <v>75</v>
      </c>
      <c r="P3" s="1" t="s">
        <v>15</v>
      </c>
    </row>
    <row r="4" spans="1:16" ht="24" customHeight="1" x14ac:dyDescent="0.25">
      <c r="A4" s="2" t="s">
        <v>76</v>
      </c>
      <c r="B4" s="2" t="s">
        <v>77</v>
      </c>
      <c r="C4" s="2" t="s">
        <v>78</v>
      </c>
      <c r="D4" s="2" t="s">
        <v>79</v>
      </c>
      <c r="E4" s="2" t="s">
        <v>80</v>
      </c>
      <c r="F4" s="2" t="s">
        <v>81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87</v>
      </c>
      <c r="M4" s="2" t="s">
        <v>88</v>
      </c>
      <c r="N4" s="2" t="s">
        <v>89</v>
      </c>
      <c r="O4" s="2" t="s">
        <v>90</v>
      </c>
      <c r="P4" s="2" t="s">
        <v>91</v>
      </c>
    </row>
    <row r="5" spans="1:16" ht="20.100000000000001" customHeight="1" x14ac:dyDescent="0.25">
      <c r="A5" s="3" t="s">
        <v>92</v>
      </c>
      <c r="B5" s="3" t="s">
        <v>31</v>
      </c>
      <c r="C5" s="3" t="s">
        <v>93</v>
      </c>
      <c r="D5" s="3" t="s">
        <v>94</v>
      </c>
      <c r="E5" s="6">
        <v>750</v>
      </c>
      <c r="F5" s="4">
        <v>30</v>
      </c>
      <c r="G5" s="3" t="s">
        <v>95</v>
      </c>
      <c r="H5" s="3" t="s">
        <v>96</v>
      </c>
      <c r="I5" s="3" t="s">
        <v>97</v>
      </c>
      <c r="J5" s="3" t="s">
        <v>98</v>
      </c>
      <c r="K5" s="3" t="s">
        <v>99</v>
      </c>
      <c r="L5" s="3" t="s">
        <v>100</v>
      </c>
      <c r="M5" s="3" t="s">
        <v>101</v>
      </c>
      <c r="N5" s="4">
        <v>25450</v>
      </c>
      <c r="O5" s="3" t="s">
        <v>102</v>
      </c>
      <c r="P5" s="3" t="s">
        <v>103</v>
      </c>
    </row>
    <row r="6" spans="1:16" ht="20.100000000000001" customHeight="1" x14ac:dyDescent="0.25">
      <c r="A6" s="8" t="s">
        <v>104</v>
      </c>
      <c r="B6" s="8" t="s">
        <v>31</v>
      </c>
      <c r="C6" s="8" t="s">
        <v>105</v>
      </c>
      <c r="D6" s="8" t="s">
        <v>106</v>
      </c>
      <c r="E6" s="11">
        <v>750</v>
      </c>
      <c r="F6" s="9">
        <v>30</v>
      </c>
      <c r="G6" s="8" t="s">
        <v>95</v>
      </c>
      <c r="H6" s="8" t="s">
        <v>96</v>
      </c>
      <c r="I6" s="8" t="s">
        <v>97</v>
      </c>
      <c r="J6" s="8" t="s">
        <v>107</v>
      </c>
      <c r="K6" s="8" t="s">
        <v>99</v>
      </c>
      <c r="L6" s="8" t="s">
        <v>108</v>
      </c>
      <c r="M6" s="8" t="s">
        <v>109</v>
      </c>
      <c r="N6" s="9">
        <v>25480</v>
      </c>
      <c r="O6" s="8" t="s">
        <v>110</v>
      </c>
      <c r="P6" s="8" t="s">
        <v>111</v>
      </c>
    </row>
    <row r="7" spans="1:16" ht="20.100000000000001" customHeight="1" x14ac:dyDescent="0.25">
      <c r="A7" s="3" t="s">
        <v>112</v>
      </c>
      <c r="B7" s="3" t="s">
        <v>42</v>
      </c>
      <c r="C7" s="3" t="s">
        <v>113</v>
      </c>
      <c r="D7" s="3" t="s">
        <v>114</v>
      </c>
      <c r="E7" s="6">
        <v>600</v>
      </c>
      <c r="F7" s="4">
        <v>24</v>
      </c>
      <c r="G7" s="3" t="s">
        <v>95</v>
      </c>
      <c r="H7" s="3" t="s">
        <v>96</v>
      </c>
      <c r="I7" s="3" t="s">
        <v>115</v>
      </c>
      <c r="J7" s="3" t="s">
        <v>116</v>
      </c>
      <c r="K7" s="3" t="s">
        <v>117</v>
      </c>
      <c r="L7" s="3" t="s">
        <v>118</v>
      </c>
      <c r="M7" s="3" t="s">
        <v>119</v>
      </c>
      <c r="N7" s="4">
        <v>25460</v>
      </c>
      <c r="O7" s="3" t="s">
        <v>102</v>
      </c>
      <c r="P7" s="3" t="s">
        <v>120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topLeftCell="L1" workbookViewId="0">
      <pane ySplit="4" topLeftCell="A5" activePane="bottomLeft" state="frozen"/>
      <selection pane="bottomLeft" activeCell="P5" sqref="P5"/>
    </sheetView>
  </sheetViews>
  <sheetFormatPr defaultRowHeight="15" x14ac:dyDescent="0.25"/>
  <cols>
    <col min="1" max="1" width="26" customWidth="1"/>
    <col min="2" max="3" width="28" customWidth="1"/>
    <col min="4" max="4" width="53" customWidth="1"/>
    <col min="5" max="5" width="44" customWidth="1"/>
    <col min="6" max="7" width="43" customWidth="1"/>
    <col min="8" max="8" width="26" customWidth="1"/>
    <col min="9" max="9" width="21" customWidth="1"/>
    <col min="10" max="10" width="15" customWidth="1"/>
    <col min="11" max="11" width="37" customWidth="1"/>
    <col min="12" max="12" width="41" customWidth="1"/>
    <col min="13" max="13" width="31" customWidth="1"/>
    <col min="14" max="14" width="34" customWidth="1"/>
    <col min="15" max="15" width="26" customWidth="1"/>
    <col min="16" max="16" width="43" customWidth="1"/>
  </cols>
  <sheetData>
    <row r="1" spans="1:16" ht="27.95" customHeight="1" x14ac:dyDescent="0.3">
      <c r="A1" s="19" t="s">
        <v>121</v>
      </c>
      <c r="B1" s="20"/>
      <c r="C1" s="20"/>
      <c r="D1" s="20"/>
      <c r="E1" s="20"/>
      <c r="F1" s="20"/>
      <c r="G1" s="20"/>
      <c r="H1" s="20"/>
    </row>
    <row r="2" spans="1:16" ht="6" customHeight="1" x14ac:dyDescent="0.25"/>
    <row r="3" spans="1:16" ht="26.1" customHeight="1" x14ac:dyDescent="0.25">
      <c r="A3" s="1" t="s">
        <v>122</v>
      </c>
      <c r="B3" s="1" t="s">
        <v>61</v>
      </c>
      <c r="C3" s="1" t="s">
        <v>62</v>
      </c>
      <c r="D3" s="1" t="s">
        <v>123</v>
      </c>
      <c r="E3" s="1" t="s">
        <v>124</v>
      </c>
      <c r="F3" s="1" t="s">
        <v>125</v>
      </c>
      <c r="G3" s="1" t="s">
        <v>126</v>
      </c>
      <c r="H3" s="1" t="s">
        <v>127</v>
      </c>
      <c r="I3" s="1" t="s">
        <v>128</v>
      </c>
      <c r="J3" s="1" t="s">
        <v>129</v>
      </c>
      <c r="K3" s="1" t="s">
        <v>130</v>
      </c>
      <c r="L3" s="1" t="s">
        <v>131</v>
      </c>
      <c r="M3" s="1" t="s">
        <v>132</v>
      </c>
      <c r="N3" s="1" t="s">
        <v>133</v>
      </c>
      <c r="O3" s="1" t="s">
        <v>134</v>
      </c>
      <c r="P3" s="1" t="s">
        <v>15</v>
      </c>
    </row>
    <row r="4" spans="1:16" ht="24" customHeight="1" x14ac:dyDescent="0.25">
      <c r="A4" s="2" t="s">
        <v>135</v>
      </c>
      <c r="B4" s="2" t="s">
        <v>136</v>
      </c>
      <c r="C4" s="2" t="s">
        <v>77</v>
      </c>
      <c r="D4" s="2" t="s">
        <v>137</v>
      </c>
      <c r="E4" s="2" t="s">
        <v>138</v>
      </c>
      <c r="F4" s="2" t="s">
        <v>139</v>
      </c>
      <c r="G4" s="2" t="s">
        <v>140</v>
      </c>
      <c r="H4" s="2" t="s">
        <v>141</v>
      </c>
      <c r="I4" s="2" t="s">
        <v>142</v>
      </c>
      <c r="J4" s="2" t="s">
        <v>143</v>
      </c>
      <c r="K4" s="2" t="s">
        <v>144</v>
      </c>
      <c r="L4" s="2" t="s">
        <v>145</v>
      </c>
      <c r="M4" s="2" t="s">
        <v>146</v>
      </c>
      <c r="N4" s="2" t="s">
        <v>147</v>
      </c>
      <c r="O4" s="2" t="s">
        <v>148</v>
      </c>
      <c r="P4" s="2" t="s">
        <v>149</v>
      </c>
    </row>
    <row r="5" spans="1:16" ht="20.100000000000001" customHeight="1" x14ac:dyDescent="0.25">
      <c r="A5" s="3" t="s">
        <v>150</v>
      </c>
      <c r="B5" s="3" t="s">
        <v>92</v>
      </c>
      <c r="C5" s="3" t="s">
        <v>31</v>
      </c>
      <c r="D5" s="3" t="s">
        <v>151</v>
      </c>
      <c r="E5" s="3" t="s">
        <v>152</v>
      </c>
      <c r="F5" s="3" t="s">
        <v>153</v>
      </c>
      <c r="G5" s="6">
        <v>30</v>
      </c>
      <c r="H5" s="3" t="s">
        <v>154</v>
      </c>
      <c r="I5" s="6">
        <v>450</v>
      </c>
      <c r="J5" s="3" t="s">
        <v>155</v>
      </c>
      <c r="K5" s="4">
        <v>25450</v>
      </c>
      <c r="L5" s="13">
        <f t="shared" ref="L5:L16" si="0">G5*I5*K5</f>
        <v>343575000</v>
      </c>
      <c r="M5" s="3" t="s">
        <v>156</v>
      </c>
      <c r="N5" s="3" t="s">
        <v>157</v>
      </c>
      <c r="O5" s="3" t="s">
        <v>158</v>
      </c>
      <c r="P5" s="3" t="s">
        <v>159</v>
      </c>
    </row>
    <row r="6" spans="1:16" ht="20.100000000000001" customHeight="1" x14ac:dyDescent="0.25">
      <c r="A6" s="8" t="s">
        <v>160</v>
      </c>
      <c r="B6" s="8" t="s">
        <v>92</v>
      </c>
      <c r="C6" s="8" t="s">
        <v>31</v>
      </c>
      <c r="D6" s="8" t="s">
        <v>161</v>
      </c>
      <c r="E6" s="8" t="s">
        <v>152</v>
      </c>
      <c r="F6" s="8" t="s">
        <v>153</v>
      </c>
      <c r="G6" s="11">
        <v>1</v>
      </c>
      <c r="H6" s="8" t="s">
        <v>162</v>
      </c>
      <c r="I6" s="11">
        <v>150</v>
      </c>
      <c r="J6" s="8" t="s">
        <v>155</v>
      </c>
      <c r="K6" s="9">
        <v>25450</v>
      </c>
      <c r="L6" s="14">
        <f t="shared" si="0"/>
        <v>3817500</v>
      </c>
      <c r="M6" s="8" t="s">
        <v>163</v>
      </c>
      <c r="N6" s="8" t="s">
        <v>157</v>
      </c>
      <c r="O6" s="8" t="s">
        <v>158</v>
      </c>
      <c r="P6" s="8" t="s">
        <v>164</v>
      </c>
    </row>
    <row r="7" spans="1:16" ht="20.100000000000001" customHeight="1" x14ac:dyDescent="0.25">
      <c r="A7" s="3" t="s">
        <v>165</v>
      </c>
      <c r="B7" s="3" t="s">
        <v>92</v>
      </c>
      <c r="C7" s="3" t="s">
        <v>31</v>
      </c>
      <c r="D7" s="3" t="s">
        <v>166</v>
      </c>
      <c r="E7" s="3" t="s">
        <v>152</v>
      </c>
      <c r="F7" s="3" t="s">
        <v>167</v>
      </c>
      <c r="G7" s="6">
        <v>30</v>
      </c>
      <c r="H7" s="3" t="s">
        <v>168</v>
      </c>
      <c r="I7" s="6">
        <v>3500000</v>
      </c>
      <c r="J7" s="3" t="s">
        <v>169</v>
      </c>
      <c r="K7" s="4">
        <v>1</v>
      </c>
      <c r="L7" s="13">
        <f t="shared" si="0"/>
        <v>105000000</v>
      </c>
      <c r="M7" s="3" t="s">
        <v>170</v>
      </c>
      <c r="N7" s="3" t="s">
        <v>157</v>
      </c>
      <c r="O7" s="3" t="s">
        <v>171</v>
      </c>
      <c r="P7" s="3" t="s">
        <v>172</v>
      </c>
    </row>
    <row r="8" spans="1:16" ht="20.100000000000001" customHeight="1" x14ac:dyDescent="0.25">
      <c r="A8" s="8" t="s">
        <v>173</v>
      </c>
      <c r="B8" s="8" t="s">
        <v>92</v>
      </c>
      <c r="C8" s="8" t="s">
        <v>31</v>
      </c>
      <c r="D8" s="8" t="s">
        <v>174</v>
      </c>
      <c r="E8" s="8" t="s">
        <v>152</v>
      </c>
      <c r="F8" s="8" t="s">
        <v>175</v>
      </c>
      <c r="G8" s="11">
        <v>30</v>
      </c>
      <c r="H8" s="8" t="s">
        <v>154</v>
      </c>
      <c r="I8" s="11">
        <v>650000</v>
      </c>
      <c r="J8" s="8" t="s">
        <v>169</v>
      </c>
      <c r="K8" s="9">
        <v>1</v>
      </c>
      <c r="L8" s="14">
        <f t="shared" si="0"/>
        <v>19500000</v>
      </c>
      <c r="M8" s="8" t="s">
        <v>176</v>
      </c>
      <c r="N8" s="8" t="s">
        <v>157</v>
      </c>
      <c r="O8" s="8" t="s">
        <v>100</v>
      </c>
      <c r="P8" s="8" t="s">
        <v>177</v>
      </c>
    </row>
    <row r="9" spans="1:16" ht="20.100000000000001" customHeight="1" x14ac:dyDescent="0.25">
      <c r="A9" s="3" t="s">
        <v>178</v>
      </c>
      <c r="B9" s="3" t="s">
        <v>92</v>
      </c>
      <c r="C9" s="3" t="s">
        <v>31</v>
      </c>
      <c r="D9" s="3" t="s">
        <v>179</v>
      </c>
      <c r="E9" s="3" t="s">
        <v>152</v>
      </c>
      <c r="F9" s="3" t="s">
        <v>180</v>
      </c>
      <c r="G9" s="6">
        <v>30</v>
      </c>
      <c r="H9" s="3" t="s">
        <v>154</v>
      </c>
      <c r="I9" s="6">
        <v>500000</v>
      </c>
      <c r="J9" s="3" t="s">
        <v>169</v>
      </c>
      <c r="K9" s="4">
        <v>1</v>
      </c>
      <c r="L9" s="13">
        <f t="shared" si="0"/>
        <v>15000000</v>
      </c>
      <c r="M9" s="3" t="s">
        <v>181</v>
      </c>
      <c r="N9" s="3" t="s">
        <v>157</v>
      </c>
      <c r="O9" s="3" t="s">
        <v>100</v>
      </c>
      <c r="P9" s="3" t="s">
        <v>182</v>
      </c>
    </row>
    <row r="10" spans="1:16" ht="20.100000000000001" customHeight="1" x14ac:dyDescent="0.25">
      <c r="A10" s="8" t="s">
        <v>183</v>
      </c>
      <c r="B10" s="8" t="s">
        <v>92</v>
      </c>
      <c r="C10" s="8" t="s">
        <v>31</v>
      </c>
      <c r="D10" s="8" t="s">
        <v>184</v>
      </c>
      <c r="E10" s="8" t="s">
        <v>152</v>
      </c>
      <c r="F10" s="8" t="s">
        <v>185</v>
      </c>
      <c r="G10" s="11">
        <v>1</v>
      </c>
      <c r="H10" s="8" t="s">
        <v>162</v>
      </c>
      <c r="I10" s="11">
        <v>8500000</v>
      </c>
      <c r="J10" s="8" t="s">
        <v>169</v>
      </c>
      <c r="K10" s="9">
        <v>1</v>
      </c>
      <c r="L10" s="14">
        <f t="shared" si="0"/>
        <v>8500000</v>
      </c>
      <c r="M10" s="8" t="s">
        <v>186</v>
      </c>
      <c r="N10" s="8" t="s">
        <v>157</v>
      </c>
      <c r="O10" s="8" t="s">
        <v>187</v>
      </c>
      <c r="P10" s="8" t="s">
        <v>188</v>
      </c>
    </row>
    <row r="11" spans="1:16" ht="20.100000000000001" customHeight="1" x14ac:dyDescent="0.25">
      <c r="A11" s="3" t="s">
        <v>189</v>
      </c>
      <c r="B11" s="3" t="s">
        <v>92</v>
      </c>
      <c r="C11" s="3" t="s">
        <v>31</v>
      </c>
      <c r="D11" s="3" t="s">
        <v>190</v>
      </c>
      <c r="E11" s="3" t="s">
        <v>152</v>
      </c>
      <c r="F11" s="3" t="s">
        <v>191</v>
      </c>
      <c r="G11" s="6">
        <v>750</v>
      </c>
      <c r="H11" s="3" t="s">
        <v>192</v>
      </c>
      <c r="I11" s="6">
        <v>35000</v>
      </c>
      <c r="J11" s="3" t="s">
        <v>169</v>
      </c>
      <c r="K11" s="4">
        <v>1</v>
      </c>
      <c r="L11" s="13">
        <f t="shared" si="0"/>
        <v>26250000</v>
      </c>
      <c r="M11" s="3" t="s">
        <v>193</v>
      </c>
      <c r="N11" s="3" t="s">
        <v>157</v>
      </c>
      <c r="O11" s="3" t="s">
        <v>100</v>
      </c>
      <c r="P11" s="3" t="s">
        <v>194</v>
      </c>
    </row>
    <row r="12" spans="1:16" ht="20.100000000000001" customHeight="1" x14ac:dyDescent="0.25">
      <c r="A12" s="8" t="s">
        <v>195</v>
      </c>
      <c r="B12" s="8" t="s">
        <v>92</v>
      </c>
      <c r="C12" s="8" t="s">
        <v>31</v>
      </c>
      <c r="D12" s="8" t="s">
        <v>196</v>
      </c>
      <c r="E12" s="8" t="s">
        <v>152</v>
      </c>
      <c r="F12" s="8" t="s">
        <v>197</v>
      </c>
      <c r="G12" s="11">
        <v>750</v>
      </c>
      <c r="H12" s="8" t="s">
        <v>192</v>
      </c>
      <c r="I12" s="11">
        <v>50000</v>
      </c>
      <c r="J12" s="8" t="s">
        <v>169</v>
      </c>
      <c r="K12" s="9">
        <v>1</v>
      </c>
      <c r="L12" s="14">
        <f t="shared" si="0"/>
        <v>37500000</v>
      </c>
      <c r="M12" s="8" t="s">
        <v>198</v>
      </c>
      <c r="N12" s="8" t="s">
        <v>157</v>
      </c>
      <c r="O12" s="8" t="s">
        <v>187</v>
      </c>
      <c r="P12" s="8" t="s">
        <v>199</v>
      </c>
    </row>
    <row r="13" spans="1:16" ht="20.100000000000001" customHeight="1" x14ac:dyDescent="0.25">
      <c r="A13" s="3" t="s">
        <v>200</v>
      </c>
      <c r="B13" s="3" t="s">
        <v>92</v>
      </c>
      <c r="C13" s="3" t="s">
        <v>31</v>
      </c>
      <c r="D13" s="3" t="s">
        <v>201</v>
      </c>
      <c r="E13" s="3" t="s">
        <v>152</v>
      </c>
      <c r="F13" s="3" t="s">
        <v>38</v>
      </c>
      <c r="G13" s="6">
        <v>1</v>
      </c>
      <c r="H13" s="3" t="s">
        <v>202</v>
      </c>
      <c r="I13" s="6">
        <v>12500000</v>
      </c>
      <c r="J13" s="3" t="s">
        <v>169</v>
      </c>
      <c r="K13" s="4">
        <v>1</v>
      </c>
      <c r="L13" s="13">
        <f t="shared" si="0"/>
        <v>12500000</v>
      </c>
      <c r="M13" s="3" t="s">
        <v>203</v>
      </c>
      <c r="N13" s="3" t="s">
        <v>157</v>
      </c>
      <c r="O13" s="3" t="s">
        <v>204</v>
      </c>
      <c r="P13" s="3" t="s">
        <v>205</v>
      </c>
    </row>
    <row r="14" spans="1:16" ht="20.100000000000001" customHeight="1" x14ac:dyDescent="0.25">
      <c r="A14" s="8" t="s">
        <v>206</v>
      </c>
      <c r="B14" s="8" t="s">
        <v>112</v>
      </c>
      <c r="C14" s="8" t="s">
        <v>42</v>
      </c>
      <c r="D14" s="8" t="s">
        <v>207</v>
      </c>
      <c r="E14" s="8" t="s">
        <v>208</v>
      </c>
      <c r="F14" s="8" t="s">
        <v>209</v>
      </c>
      <c r="G14" s="11">
        <v>24</v>
      </c>
      <c r="H14" s="8" t="s">
        <v>154</v>
      </c>
      <c r="I14" s="11">
        <v>22000000</v>
      </c>
      <c r="J14" s="8" t="s">
        <v>169</v>
      </c>
      <c r="K14" s="9">
        <v>1</v>
      </c>
      <c r="L14" s="14">
        <f t="shared" si="0"/>
        <v>528000000</v>
      </c>
      <c r="M14" s="8" t="s">
        <v>210</v>
      </c>
      <c r="N14" s="8" t="s">
        <v>211</v>
      </c>
      <c r="O14" s="8"/>
      <c r="P14" s="8" t="s">
        <v>212</v>
      </c>
    </row>
    <row r="15" spans="1:16" ht="20.100000000000001" customHeight="1" x14ac:dyDescent="0.25">
      <c r="A15" s="3" t="s">
        <v>213</v>
      </c>
      <c r="B15" s="3" t="s">
        <v>112</v>
      </c>
      <c r="C15" s="3" t="s">
        <v>42</v>
      </c>
      <c r="D15" s="3" t="s">
        <v>214</v>
      </c>
      <c r="E15" s="3" t="s">
        <v>208</v>
      </c>
      <c r="F15" s="3" t="s">
        <v>215</v>
      </c>
      <c r="G15" s="6">
        <v>24</v>
      </c>
      <c r="H15" s="3" t="s">
        <v>154</v>
      </c>
      <c r="I15" s="6">
        <v>410</v>
      </c>
      <c r="J15" s="3" t="s">
        <v>155</v>
      </c>
      <c r="K15" s="4">
        <v>25460</v>
      </c>
      <c r="L15" s="13">
        <f t="shared" si="0"/>
        <v>250526400</v>
      </c>
      <c r="M15" s="3" t="s">
        <v>216</v>
      </c>
      <c r="N15" s="3" t="s">
        <v>211</v>
      </c>
      <c r="O15" s="3"/>
      <c r="P15" s="3" t="s">
        <v>217</v>
      </c>
    </row>
    <row r="16" spans="1:16" ht="20.100000000000001" customHeight="1" x14ac:dyDescent="0.25">
      <c r="A16" s="8" t="s">
        <v>218</v>
      </c>
      <c r="B16" s="8" t="s">
        <v>112</v>
      </c>
      <c r="C16" s="8" t="s">
        <v>42</v>
      </c>
      <c r="D16" s="8" t="s">
        <v>196</v>
      </c>
      <c r="E16" s="8" t="s">
        <v>152</v>
      </c>
      <c r="F16" s="8" t="s">
        <v>219</v>
      </c>
      <c r="G16" s="11">
        <v>600</v>
      </c>
      <c r="H16" s="8" t="s">
        <v>192</v>
      </c>
      <c r="I16" s="11">
        <v>45000</v>
      </c>
      <c r="J16" s="8" t="s">
        <v>169</v>
      </c>
      <c r="K16" s="9">
        <v>1</v>
      </c>
      <c r="L16" s="14">
        <f t="shared" si="0"/>
        <v>27000000</v>
      </c>
      <c r="M16" s="8" t="s">
        <v>220</v>
      </c>
      <c r="N16" s="8" t="s">
        <v>211</v>
      </c>
      <c r="O16" s="8"/>
      <c r="P16" s="8" t="s">
        <v>221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topLeftCell="D1" workbookViewId="0">
      <pane ySplit="4" topLeftCell="A5" activePane="bottomLeft" state="frozen"/>
      <selection pane="bottomLeft" activeCell="G5" sqref="G5"/>
    </sheetView>
  </sheetViews>
  <sheetFormatPr defaultRowHeight="15" x14ac:dyDescent="0.25"/>
  <cols>
    <col min="1" max="1" width="31" customWidth="1"/>
    <col min="2" max="2" width="28" customWidth="1"/>
    <col min="3" max="3" width="37" customWidth="1"/>
    <col min="4" max="4" width="28" customWidth="1"/>
    <col min="5" max="5" width="46" customWidth="1"/>
    <col min="6" max="6" width="14" customWidth="1"/>
    <col min="7" max="7" width="27" customWidth="1"/>
    <col min="8" max="8" width="39" customWidth="1"/>
    <col min="9" max="9" width="31" customWidth="1"/>
    <col min="10" max="10" width="34" customWidth="1"/>
    <col min="11" max="11" width="18" customWidth="1"/>
    <col min="12" max="12" width="26" customWidth="1"/>
    <col min="13" max="13" width="27" customWidth="1"/>
  </cols>
  <sheetData>
    <row r="1" spans="1:13" ht="27.95" customHeight="1" x14ac:dyDescent="0.3">
      <c r="A1" s="19" t="s">
        <v>222</v>
      </c>
      <c r="B1" s="20"/>
      <c r="C1" s="20"/>
      <c r="D1" s="20"/>
      <c r="E1" s="20"/>
      <c r="F1" s="20"/>
      <c r="G1" s="20"/>
      <c r="H1" s="20"/>
    </row>
    <row r="2" spans="1:13" ht="6" customHeight="1" x14ac:dyDescent="0.25"/>
    <row r="3" spans="1:13" ht="26.1" customHeight="1" x14ac:dyDescent="0.25">
      <c r="A3" s="1" t="s">
        <v>223</v>
      </c>
      <c r="B3" s="1" t="s">
        <v>62</v>
      </c>
      <c r="C3" s="1" t="s">
        <v>61</v>
      </c>
      <c r="D3" s="1" t="s">
        <v>224</v>
      </c>
      <c r="E3" s="1" t="s">
        <v>225</v>
      </c>
      <c r="F3" s="1" t="s">
        <v>226</v>
      </c>
      <c r="G3" s="1" t="s">
        <v>227</v>
      </c>
      <c r="H3" s="1" t="s">
        <v>228</v>
      </c>
      <c r="I3" s="1" t="s">
        <v>131</v>
      </c>
      <c r="J3" s="1" t="s">
        <v>229</v>
      </c>
      <c r="K3" s="1" t="s">
        <v>230</v>
      </c>
      <c r="L3" s="1" t="s">
        <v>231</v>
      </c>
      <c r="M3" s="1" t="s">
        <v>15</v>
      </c>
    </row>
    <row r="4" spans="1:13" ht="24" customHeight="1" x14ac:dyDescent="0.25">
      <c r="A4" s="2" t="s">
        <v>232</v>
      </c>
      <c r="B4" s="2" t="s">
        <v>77</v>
      </c>
      <c r="C4" s="2" t="s">
        <v>233</v>
      </c>
      <c r="D4" s="2" t="s">
        <v>234</v>
      </c>
      <c r="E4" s="2" t="s">
        <v>235</v>
      </c>
      <c r="F4" s="2" t="s">
        <v>236</v>
      </c>
      <c r="G4" s="2" t="s">
        <v>237</v>
      </c>
      <c r="H4" s="2" t="s">
        <v>238</v>
      </c>
      <c r="I4" s="2" t="s">
        <v>239</v>
      </c>
      <c r="J4" s="2" t="s">
        <v>240</v>
      </c>
      <c r="K4" s="2" t="s">
        <v>241</v>
      </c>
      <c r="L4" s="2" t="s">
        <v>242</v>
      </c>
      <c r="M4" s="2" t="s">
        <v>243</v>
      </c>
    </row>
    <row r="5" spans="1:13" ht="20.100000000000001" customHeight="1" x14ac:dyDescent="0.25">
      <c r="A5" s="3" t="s">
        <v>244</v>
      </c>
      <c r="B5" s="3" t="s">
        <v>31</v>
      </c>
      <c r="C5" s="3" t="s">
        <v>92</v>
      </c>
      <c r="D5" s="3" t="s">
        <v>34</v>
      </c>
      <c r="E5" s="3" t="s">
        <v>245</v>
      </c>
      <c r="F5" s="3" t="s">
        <v>37</v>
      </c>
      <c r="G5" s="6">
        <v>360000</v>
      </c>
      <c r="H5" s="4">
        <v>25450</v>
      </c>
      <c r="I5" s="13">
        <f>G5*H5</f>
        <v>9162000000</v>
      </c>
      <c r="J5" s="3" t="s">
        <v>118</v>
      </c>
      <c r="K5" s="3" t="s">
        <v>38</v>
      </c>
      <c r="L5" s="3" t="s">
        <v>246</v>
      </c>
      <c r="M5" s="3" t="s">
        <v>247</v>
      </c>
    </row>
    <row r="6" spans="1:13" ht="20.100000000000001" customHeight="1" x14ac:dyDescent="0.25">
      <c r="A6" s="8" t="s">
        <v>248</v>
      </c>
      <c r="B6" s="8" t="s">
        <v>42</v>
      </c>
      <c r="C6" s="8"/>
      <c r="D6" s="8" t="s">
        <v>45</v>
      </c>
      <c r="E6" s="8" t="s">
        <v>249</v>
      </c>
      <c r="F6" s="8" t="s">
        <v>250</v>
      </c>
      <c r="G6" s="11">
        <v>89100</v>
      </c>
      <c r="H6" s="9">
        <v>25460</v>
      </c>
      <c r="I6" s="14">
        <f>G6*H6</f>
        <v>2268486000</v>
      </c>
      <c r="J6" s="8" t="s">
        <v>251</v>
      </c>
      <c r="K6" s="8" t="s">
        <v>49</v>
      </c>
      <c r="L6" s="8" t="s">
        <v>252</v>
      </c>
      <c r="M6" s="8" t="s">
        <v>253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>
      <pane ySplit="4" topLeftCell="A5" activePane="bottomLeft" state="frozen"/>
      <selection pane="bottomLeft" activeCell="A6" sqref="A6"/>
    </sheetView>
  </sheetViews>
  <sheetFormatPr defaultRowHeight="15" x14ac:dyDescent="0.25"/>
  <cols>
    <col min="1" max="1" width="14" customWidth="1"/>
    <col min="2" max="2" width="28" customWidth="1"/>
    <col min="3" max="3" width="17" customWidth="1"/>
    <col min="4" max="4" width="18" customWidth="1"/>
    <col min="5" max="5" width="26" customWidth="1"/>
    <col min="6" max="6" width="27" customWidth="1"/>
    <col min="7" max="7" width="39" customWidth="1"/>
    <col min="8" max="8" width="24" customWidth="1"/>
    <col min="9" max="9" width="38" customWidth="1"/>
    <col min="10" max="10" width="53" customWidth="1"/>
    <col min="11" max="11" width="21" customWidth="1"/>
  </cols>
  <sheetData>
    <row r="1" spans="1:11" ht="27.95" customHeight="1" x14ac:dyDescent="0.3">
      <c r="A1" s="19" t="s">
        <v>254</v>
      </c>
      <c r="B1" s="20"/>
      <c r="C1" s="20"/>
      <c r="D1" s="20"/>
      <c r="E1" s="20"/>
      <c r="F1" s="20"/>
      <c r="G1" s="20"/>
      <c r="H1" s="20"/>
    </row>
    <row r="2" spans="1:11" ht="6" customHeight="1" x14ac:dyDescent="0.25"/>
    <row r="3" spans="1:11" ht="26.1" customHeight="1" x14ac:dyDescent="0.25">
      <c r="A3" s="1" t="s">
        <v>1</v>
      </c>
      <c r="B3" s="1" t="s">
        <v>224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</row>
    <row r="4" spans="1:11" ht="24" customHeight="1" x14ac:dyDescent="0.25">
      <c r="A4" s="2" t="s">
        <v>264</v>
      </c>
      <c r="B4" s="2" t="s">
        <v>265</v>
      </c>
      <c r="C4" s="2" t="s">
        <v>266</v>
      </c>
      <c r="D4" s="2" t="s">
        <v>267</v>
      </c>
      <c r="E4" s="2" t="s">
        <v>268</v>
      </c>
      <c r="F4" s="2" t="s">
        <v>269</v>
      </c>
      <c r="G4" s="2" t="s">
        <v>270</v>
      </c>
      <c r="H4" s="2" t="s">
        <v>271</v>
      </c>
      <c r="I4" s="2" t="s">
        <v>272</v>
      </c>
      <c r="J4" s="2" t="s">
        <v>273</v>
      </c>
      <c r="K4" s="2" t="s">
        <v>274</v>
      </c>
    </row>
    <row r="5" spans="1:11" ht="20.100000000000001" customHeight="1" x14ac:dyDescent="0.25">
      <c r="A5" s="3" t="s">
        <v>31</v>
      </c>
      <c r="B5" s="3" t="s">
        <v>34</v>
      </c>
      <c r="C5" s="4">
        <v>1500</v>
      </c>
      <c r="D5" s="6">
        <v>720000</v>
      </c>
      <c r="E5" s="4">
        <v>18334800000</v>
      </c>
      <c r="F5" s="4">
        <v>15750000000</v>
      </c>
      <c r="G5" s="4">
        <v>1025000000</v>
      </c>
      <c r="H5" s="4">
        <v>75000000</v>
      </c>
      <c r="I5" s="4">
        <v>85000000</v>
      </c>
      <c r="J5" s="13">
        <f>E5-(F5+G5+H5+I5)</f>
        <v>1399800000</v>
      </c>
      <c r="K5" s="15">
        <f>J5/E5</f>
        <v>7.6346619543163824E-2</v>
      </c>
    </row>
    <row r="6" spans="1:11" ht="20.100000000000001" customHeight="1" x14ac:dyDescent="0.25">
      <c r="A6" s="8" t="s">
        <v>42</v>
      </c>
      <c r="B6" s="8" t="s">
        <v>45</v>
      </c>
      <c r="C6" s="9">
        <v>600</v>
      </c>
      <c r="D6" s="11">
        <v>297000</v>
      </c>
      <c r="E6" s="9">
        <v>7561620000</v>
      </c>
      <c r="F6" s="9">
        <v>6420000000</v>
      </c>
      <c r="G6" s="9">
        <v>778000000</v>
      </c>
      <c r="H6" s="9">
        <v>27000000</v>
      </c>
      <c r="I6" s="9">
        <v>32000000</v>
      </c>
      <c r="J6" s="14">
        <f>E6-(F6+G6+H6+I6)</f>
        <v>304620000</v>
      </c>
      <c r="K6" s="16">
        <f>J6/E6</f>
        <v>4.0285018289731564E-2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topLeftCell="A10" workbookViewId="0">
      <selection activeCell="A20" sqref="A20"/>
    </sheetView>
  </sheetViews>
  <sheetFormatPr defaultRowHeight="15" x14ac:dyDescent="0.25"/>
  <cols>
    <col min="1" max="1" width="75" customWidth="1"/>
    <col min="2" max="2" width="28" customWidth="1"/>
    <col min="3" max="4" width="16" customWidth="1"/>
    <col min="5" max="5" width="28" customWidth="1"/>
    <col min="6" max="6" width="36" customWidth="1"/>
    <col min="7" max="7" width="30" customWidth="1"/>
    <col min="8" max="8" width="16" customWidth="1"/>
  </cols>
  <sheetData>
    <row r="1" spans="1:8" ht="27.95" customHeight="1" x14ac:dyDescent="0.3">
      <c r="A1" s="19" t="s">
        <v>275</v>
      </c>
      <c r="B1" s="20"/>
      <c r="C1" s="20"/>
      <c r="D1" s="20"/>
      <c r="E1" s="20"/>
      <c r="F1" s="20"/>
      <c r="G1" s="20"/>
      <c r="H1" s="20"/>
    </row>
    <row r="3" spans="1:8" ht="21.95" customHeight="1" x14ac:dyDescent="0.25">
      <c r="A3" s="21" t="s">
        <v>276</v>
      </c>
      <c r="B3" s="20"/>
      <c r="C3" s="20"/>
      <c r="E3" s="21" t="s">
        <v>277</v>
      </c>
      <c r="F3" s="20"/>
      <c r="G3" s="20"/>
    </row>
    <row r="4" spans="1:8" ht="20.100000000000001" customHeight="1" x14ac:dyDescent="0.25">
      <c r="A4" s="17" t="s">
        <v>278</v>
      </c>
      <c r="B4" s="17" t="s">
        <v>4</v>
      </c>
      <c r="C4" s="17" t="s">
        <v>279</v>
      </c>
      <c r="E4" s="17" t="s">
        <v>280</v>
      </c>
      <c r="F4" s="17" t="s">
        <v>281</v>
      </c>
      <c r="G4" s="17" t="s">
        <v>282</v>
      </c>
    </row>
    <row r="5" spans="1:8" ht="18" customHeight="1" x14ac:dyDescent="0.25">
      <c r="A5" s="18" t="s">
        <v>33</v>
      </c>
      <c r="B5" s="18" t="s">
        <v>34</v>
      </c>
      <c r="C5" s="18" t="s">
        <v>283</v>
      </c>
      <c r="E5" s="18" t="s">
        <v>35</v>
      </c>
      <c r="F5" s="18" t="s">
        <v>284</v>
      </c>
      <c r="G5" s="18" t="s">
        <v>285</v>
      </c>
    </row>
    <row r="6" spans="1:8" ht="18" customHeight="1" x14ac:dyDescent="0.25">
      <c r="A6" s="18" t="s">
        <v>44</v>
      </c>
      <c r="B6" s="18" t="s">
        <v>45</v>
      </c>
      <c r="C6" s="18" t="s">
        <v>283</v>
      </c>
      <c r="E6" s="18" t="s">
        <v>46</v>
      </c>
      <c r="F6" s="18" t="s">
        <v>286</v>
      </c>
      <c r="G6" s="18" t="s">
        <v>287</v>
      </c>
    </row>
    <row r="7" spans="1:8" ht="18" customHeight="1" x14ac:dyDescent="0.25">
      <c r="A7" s="18" t="s">
        <v>54</v>
      </c>
      <c r="B7" s="18" t="s">
        <v>55</v>
      </c>
      <c r="C7" s="18" t="s">
        <v>288</v>
      </c>
      <c r="E7" s="18" t="s">
        <v>289</v>
      </c>
      <c r="F7" s="18" t="s">
        <v>290</v>
      </c>
      <c r="G7" s="18" t="s">
        <v>291</v>
      </c>
    </row>
    <row r="10" spans="1:8" ht="21.95" customHeight="1" x14ac:dyDescent="0.25">
      <c r="A10" s="21" t="s">
        <v>292</v>
      </c>
      <c r="B10" s="20"/>
      <c r="C10" s="20"/>
      <c r="E10" s="21" t="s">
        <v>293</v>
      </c>
      <c r="F10" s="20"/>
      <c r="G10" s="20"/>
    </row>
    <row r="11" spans="1:8" ht="20.100000000000001" customHeight="1" x14ac:dyDescent="0.25">
      <c r="A11" s="17" t="s">
        <v>294</v>
      </c>
      <c r="B11" s="17" t="s">
        <v>295</v>
      </c>
      <c r="C11" s="17" t="s">
        <v>296</v>
      </c>
      <c r="E11" s="17" t="s">
        <v>297</v>
      </c>
      <c r="F11" s="17" t="s">
        <v>298</v>
      </c>
      <c r="G11" s="17" t="s">
        <v>299</v>
      </c>
    </row>
    <row r="12" spans="1:8" ht="18" customHeight="1" x14ac:dyDescent="0.25">
      <c r="A12" s="18" t="s">
        <v>300</v>
      </c>
      <c r="B12" s="18" t="s">
        <v>301</v>
      </c>
      <c r="C12" s="18" t="s">
        <v>302</v>
      </c>
      <c r="E12" s="18" t="s">
        <v>303</v>
      </c>
      <c r="F12" s="18" t="s">
        <v>304</v>
      </c>
      <c r="G12" s="18" t="s">
        <v>305</v>
      </c>
    </row>
    <row r="13" spans="1:8" ht="18" customHeight="1" x14ac:dyDescent="0.25">
      <c r="A13" s="18" t="s">
        <v>306</v>
      </c>
      <c r="B13" s="18" t="s">
        <v>307</v>
      </c>
      <c r="C13" s="18" t="s">
        <v>302</v>
      </c>
      <c r="E13" s="18" t="s">
        <v>308</v>
      </c>
      <c r="F13" s="18" t="s">
        <v>309</v>
      </c>
      <c r="G13" s="18" t="s">
        <v>310</v>
      </c>
    </row>
    <row r="14" spans="1:8" ht="18" customHeight="1" x14ac:dyDescent="0.25">
      <c r="A14" s="18" t="s">
        <v>311</v>
      </c>
      <c r="B14" s="18" t="s">
        <v>312</v>
      </c>
      <c r="C14" s="18" t="s">
        <v>313</v>
      </c>
      <c r="E14" s="18" t="s">
        <v>314</v>
      </c>
      <c r="F14" s="18" t="s">
        <v>315</v>
      </c>
      <c r="G14" s="18" t="s">
        <v>316</v>
      </c>
    </row>
    <row r="15" spans="1:8" ht="18" customHeight="1" x14ac:dyDescent="0.25">
      <c r="A15" s="18" t="s">
        <v>317</v>
      </c>
      <c r="B15" s="18" t="s">
        <v>318</v>
      </c>
      <c r="C15" s="18" t="s">
        <v>313</v>
      </c>
      <c r="E15" s="18" t="s">
        <v>319</v>
      </c>
      <c r="F15" s="18" t="s">
        <v>191</v>
      </c>
      <c r="G15" s="18" t="s">
        <v>320</v>
      </c>
    </row>
    <row r="16" spans="1:8" ht="18" customHeight="1" x14ac:dyDescent="0.25">
      <c r="E16" s="18" t="s">
        <v>321</v>
      </c>
      <c r="F16" s="18" t="s">
        <v>322</v>
      </c>
      <c r="G16" s="18" t="s">
        <v>323</v>
      </c>
    </row>
    <row r="18" spans="1:2" ht="21.95" customHeight="1" x14ac:dyDescent="0.25">
      <c r="A18" s="21" t="s">
        <v>324</v>
      </c>
      <c r="B18" s="20"/>
    </row>
    <row r="19" spans="1:2" ht="20.100000000000001" customHeight="1" x14ac:dyDescent="0.25">
      <c r="A19" s="17" t="s">
        <v>325</v>
      </c>
      <c r="B19" s="17" t="s">
        <v>326</v>
      </c>
    </row>
    <row r="20" spans="1:2" ht="18" customHeight="1" x14ac:dyDescent="0.25">
      <c r="A20" s="18" t="s">
        <v>327</v>
      </c>
      <c r="B20" s="18" t="s">
        <v>328</v>
      </c>
    </row>
    <row r="21" spans="1:2" ht="18" customHeight="1" x14ac:dyDescent="0.25">
      <c r="A21" s="18" t="s">
        <v>329</v>
      </c>
      <c r="B21" s="18" t="s">
        <v>330</v>
      </c>
    </row>
    <row r="22" spans="1:2" ht="18" customHeight="1" x14ac:dyDescent="0.25">
      <c r="A22" s="18" t="s">
        <v>56</v>
      </c>
      <c r="B22" s="18" t="s">
        <v>332</v>
      </c>
    </row>
    <row r="23" spans="1:2" ht="18" customHeight="1" x14ac:dyDescent="0.25">
      <c r="A23" s="18" t="s">
        <v>331</v>
      </c>
      <c r="B23" s="18"/>
    </row>
    <row r="24" spans="1:2" ht="18" customHeight="1" x14ac:dyDescent="0.25">
      <c r="A24" s="18" t="s">
        <v>48</v>
      </c>
      <c r="B24" s="18"/>
    </row>
  </sheetData>
  <mergeCells count="6">
    <mergeCell ref="A18:B18"/>
    <mergeCell ref="A10:C10"/>
    <mergeCell ref="E10:G10"/>
    <mergeCell ref="A3:C3"/>
    <mergeCell ref="E3:G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HopDong_Ban</vt:lpstr>
      <vt:lpstr>2. Dot_Xuat_Hang</vt:lpstr>
      <vt:lpstr>3. ChiPhi_Logistics</vt:lpstr>
      <vt:lpstr>4. ThanhToan_TienVe</vt:lpstr>
      <vt:lpstr>5. TongHop_LoiNhuan</vt:lpstr>
      <vt:lpstr>6. DanhMuc_MasterData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Tuấn Vũ</cp:lastModifiedBy>
  <dcterms:created xsi:type="dcterms:W3CDTF">2026-10-14T01:13:00Z</dcterms:created>
  <dcterms:modified xsi:type="dcterms:W3CDTF">2026-10-14T01:42:55Z</dcterms:modified>
</cp:coreProperties>
</file>